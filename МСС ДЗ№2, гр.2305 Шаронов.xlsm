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-108" yWindow="-108" windowWidth="23256" windowHeight="13176"/>
  </bookViews>
  <sheets>
    <sheet name="Лист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/>
  <c r="G13" s="1"/>
  <c r="C3"/>
  <c r="I13" l="1"/>
  <c r="M13"/>
  <c r="Q13"/>
  <c r="U13"/>
  <c r="Y13"/>
  <c r="AC13"/>
  <c r="AG13"/>
  <c r="H13"/>
  <c r="L13"/>
  <c r="P13"/>
  <c r="T13"/>
  <c r="X13"/>
  <c r="AB13"/>
  <c r="AF13"/>
  <c r="K13"/>
  <c r="O13"/>
  <c r="S13"/>
  <c r="W13"/>
  <c r="AA13"/>
  <c r="AE13"/>
  <c r="AI13"/>
  <c r="AJ12"/>
  <c r="J13"/>
  <c r="N13"/>
  <c r="R13"/>
  <c r="V13"/>
  <c r="Z13"/>
  <c r="AD13"/>
  <c r="AH13"/>
  <c r="C15"/>
  <c r="C14"/>
  <c r="C16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G17" l="1"/>
  <c r="F16"/>
  <c r="G16"/>
  <c r="G18" s="1"/>
  <c r="AI16"/>
  <c r="O16"/>
  <c r="W16"/>
  <c r="AE16"/>
  <c r="H16"/>
  <c r="X16"/>
  <c r="AF16"/>
  <c r="I16"/>
  <c r="Q16"/>
  <c r="Y16"/>
  <c r="AG16"/>
  <c r="J16"/>
  <c r="R16"/>
  <c r="Z16"/>
  <c r="AH16"/>
  <c r="K16"/>
  <c r="S16"/>
  <c r="L16"/>
  <c r="M16"/>
  <c r="N16"/>
  <c r="P16"/>
  <c r="AA16"/>
  <c r="T16"/>
  <c r="U16"/>
  <c r="AC16"/>
  <c r="V16"/>
  <c r="AB16"/>
  <c r="AD16"/>
  <c r="H17" l="1"/>
  <c r="I17" s="1"/>
  <c r="J17" s="1"/>
  <c r="K17" s="1"/>
  <c r="L17" s="1"/>
  <c r="M17" s="1"/>
  <c r="N17" s="1"/>
  <c r="H18"/>
  <c r="I18" l="1"/>
  <c r="J18" s="1"/>
  <c r="K18" s="1"/>
  <c r="L18" s="1"/>
  <c r="M18" s="1"/>
  <c r="N18" s="1"/>
  <c r="O18" s="1"/>
  <c r="O17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P18" l="1"/>
  <c r="Q18" s="1"/>
  <c r="R18" s="1"/>
  <c r="S18" s="1"/>
  <c r="T18" s="1"/>
  <c r="U18" s="1"/>
  <c r="V18" s="1"/>
  <c r="W18" s="1"/>
  <c r="X18" s="1"/>
  <c r="Y18" s="1"/>
  <c r="Z18" s="1"/>
  <c r="AA18" s="1"/>
  <c r="AB18" s="1"/>
  <c r="AC18" s="1"/>
  <c r="AD18" s="1"/>
  <c r="AE18" s="1"/>
  <c r="AF18" s="1"/>
  <c r="AG18" s="1"/>
  <c r="AH18" s="1"/>
  <c r="AI18" s="1"/>
  <c r="AI14" l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l="1"/>
  <c r="M14" s="1"/>
  <c r="L14" s="1"/>
  <c r="K14" s="1"/>
  <c r="J14" s="1"/>
  <c r="I14" s="1"/>
  <c r="H14" s="1"/>
  <c r="G14" s="1"/>
</calcChain>
</file>

<file path=xl/sharedStrings.xml><?xml version="1.0" encoding="utf-8"?>
<sst xmlns="http://schemas.openxmlformats.org/spreadsheetml/2006/main" count="20" uniqueCount="17">
  <si>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</si>
  <si>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</si>
  <si>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</si>
  <si>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</si>
  <si>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</si>
  <si>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</si>
  <si>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</si>
  <si>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</si>
  <si>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</si>
  <si>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q</t>
  </si>
  <si>
    <t>alfa</t>
  </si>
  <si>
    <t>A</t>
  </si>
  <si>
    <t>B</t>
  </si>
  <si>
    <t>C</t>
  </si>
  <si>
    <t>F</t>
  </si>
  <si>
    <t>betta</t>
  </si>
  <si>
    <t>titer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</si>
</sst>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28"/>
  <c:chart>
    <c:title>
      <c:tx>
        <c:rich>
          <a:bodyPr/>
          <a:lstStyle/>
          <a:p>
            <a:pPr>
              <a:defRPr/>
            </a:pPr>
            <a:r>
              <a:rPr lang="en-US"/>
              <a:t>L[</a:t>
            </a:r>
            <a:r>
              <a:rPr lang="ru-RU"/>
              <a:t>м</a:t>
            </a:r>
            <a:r>
              <a:rPr lang="en-US"/>
              <a:t>]</a:t>
            </a:r>
            <a:endParaRPr lang="ru-RU"/>
          </a:p>
        </c:rich>
      </c:tx>
      <c:layout>
        <c:manualLayout>
          <c:xMode val="edge"/>
          <c:yMode val="edge"/>
          <c:x val="0.90475672740317581"/>
          <c:y val="0.91855217256210919"/>
        </c:manualLayout>
      </c:layout>
    </c:title>
    <c:plotArea>
      <c:layout/>
      <c:lineChart>
        <c:grouping val="stacked"/>
        <c:ser>
          <c:idx val="0"/>
          <c:order val="0"/>
          <c:marker>
            <c:symbol val="none"/>
          </c:marker>
          <c:cat>
            <c:numRef>
              <c:f>Лист1!$F$11:$AJ$11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292.21368214735639</c:v>
                </c:pt>
                <c:pt idx="2">
                  <c:v>284.439632993462</c:v>
                </c:pt>
                <c:pt idx="3">
                  <c:v>276.689986750191</c:v>
                </c:pt>
                <c:pt idx="4">
                  <c:v>268.97661013212502</c:v>
                </c:pt>
                <c:pt idx="5">
                  <c:v>261.31097228274467</c:v>
                </c:pt>
                <c:pt idx="6">
                  <c:v>253.7040190649484</c:v>
                </c:pt>
                <c:pt idx="7">
                  <c:v>246.16605309543681</c:v>
                </c:pt>
                <c:pt idx="8">
                  <c:v>238.70662083909593</c:v>
                </c:pt>
                <c:pt idx="9">
                  <c:v>231.33440800162151</c:v>
                </c:pt>
                <c:pt idx="10">
                  <c:v>224.05714436711008</c:v>
                </c:pt>
                <c:pt idx="11">
                  <c:v>216.88151912323576</c:v>
                </c:pt>
                <c:pt idx="12">
                  <c:v>209.81310760110242</c:v>
                </c:pt>
                <c:pt idx="13">
                  <c:v>202.85631023120138</c:v>
                </c:pt>
                <c:pt idx="14">
                  <c:v>196.01430438251862</c:v>
                </c:pt>
                <c:pt idx="15">
                  <c:v>189.28900961021589</c:v>
                </c:pt>
                <c:pt idx="16">
                  <c:v>182.68106669003538</c:v>
                </c:pt>
                <c:pt idx="17">
                  <c:v>176.18983066627078</c:v>
                </c:pt>
                <c:pt idx="18">
                  <c:v>169.81337798648079</c:v>
                </c:pt>
                <c:pt idx="19">
                  <c:v>163.54852764178463</c:v>
                </c:pt>
                <c:pt idx="20">
                  <c:v>157.3908760782617</c:v>
                </c:pt>
                <c:pt idx="21">
                  <c:v>151.33484549435349</c:v>
                </c:pt>
                <c:pt idx="22">
                  <c:v>145.3737449928766</c:v>
                </c:pt>
                <c:pt idx="23">
                  <c:v>139.49984391588401</c:v>
                </c:pt>
                <c:pt idx="24">
                  <c:v>133.70445655768003</c:v>
                </c:pt>
                <c:pt idx="25">
                  <c:v>127.97803732722903</c:v>
                </c:pt>
                <c:pt idx="26">
                  <c:v>122.3102853173399</c:v>
                </c:pt>
                <c:pt idx="27">
                  <c:v>116.69025713556866</c:v>
                </c:pt>
                <c:pt idx="28">
                  <c:v>111.1064867618642</c:v>
                </c:pt>
                <c:pt idx="29">
                  <c:v>105.54711112153952</c:v>
                </c:pt>
                <c:pt idx="30">
                  <c:v>98.880444454872844</c:v>
                </c:pt>
              </c:numCache>
            </c:numRef>
          </c:val>
        </c:ser>
        <c:marker val="1"/>
        <c:axId val="161066368"/>
        <c:axId val="168825984"/>
      </c:lineChart>
      <c:catAx>
        <c:axId val="161066368"/>
        <c:scaling>
          <c:orientation val="minMax"/>
        </c:scaling>
        <c:axPos val="b"/>
        <c:majorGridlines/>
        <c:numFmt formatCode="0.00" sourceLinked="1"/>
        <c:majorTickMark val="none"/>
        <c:tickLblPos val="nextTo"/>
        <c:crossAx val="168825984"/>
        <c:crosses val="autoZero"/>
        <c:auto val="1"/>
        <c:lblAlgn val="ctr"/>
        <c:lblOffset val="100"/>
      </c:catAx>
      <c:valAx>
        <c:axId val="168825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800"/>
                  <a:t>Температура</a:t>
                </a:r>
                <a:r>
                  <a:rPr lang="ru-RU" sz="1800" baseline="0"/>
                  <a:t> </a:t>
                </a:r>
                <a:r>
                  <a:rPr lang="en-US" sz="1800" baseline="0"/>
                  <a:t>[C]</a:t>
                </a:r>
                <a:endParaRPr lang="ru-RU" sz="1800"/>
              </a:p>
            </c:rich>
          </c:tx>
          <c:layout/>
        </c:title>
        <c:numFmt formatCode="General" sourceLinked="1"/>
        <c:majorTickMark val="none"/>
        <c:tickLblPos val="nextTo"/>
        <c:crossAx val="161066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152399</xdr:colOff>
      <xdr:row>18</xdr:row>
      <xdr:rowOff>163286</xdr:rowOff>
    </xdr:from>
    <xdr:to>
      <xdr:col>26</xdr:col>
      <xdr:colOff>381000</xdr:colOff>
      <xdr:row>44</xdr:row>
      <xdr:rowOff>163285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22"/>
  <sheetViews>
    <sheetView tabSelected="1" zoomScale="70" zoomScaleNormal="70" workbookViewId="0">
      <selection activeCell="J4" sqref="J4"/>
    </sheetView>
  </sheetViews>
  <sheetFormatPr defaultRowHeight="14.4"/>
  <cols>
    <col min="1" max="1" width="9" customWidth="1"/>
    <col min="2" max="2" width="9.5546875" customWidth="1"/>
    <col min="5" max="5" width="12.77734375" bestFit="1" customWidth="1"/>
    <col min="6" max="6" width="8.6640625" customWidth="1"/>
    <col min="7" max="33" width="7.44140625" bestFit="1" customWidth="1"/>
    <col min="34" max="34" width="8" customWidth="1"/>
    <col min="35" max="35" width="7.44140625" bestFit="1" customWidth="1"/>
  </cols>
  <sheetData>
    <row r="2" spans="2:36">
      <c r="B2" s="1" t="s">
        <v>0</v>
      </c>
      <c r="C2" s="1">
        <v>0.1</v>
      </c>
    </row>
    <row r="3" spans="2:36">
      <c r="B3" s="1" t="s">
        <v>1</v>
      </c>
      <c r="C3" s="1">
        <f>C2/30</f>
        <v>3.3333333333333335E-3</v>
      </c>
    </row>
    <row r="4" spans="2:36">
      <c r="B4" s="1" t="s">
        <v>2</v>
      </c>
      <c r="C4" s="1">
        <v>0.33</v>
      </c>
    </row>
    <row r="5" spans="2:36">
      <c r="B5" s="2" t="s">
        <v>3</v>
      </c>
      <c r="C5" s="2">
        <v>200</v>
      </c>
      <c r="D5">
        <v>200.31</v>
      </c>
    </row>
    <row r="6" spans="2:36">
      <c r="B6" s="5"/>
      <c r="C6" s="5"/>
    </row>
    <row r="7" spans="2:36">
      <c r="B7" s="3" t="s">
        <v>4</v>
      </c>
      <c r="C7" s="3">
        <v>460</v>
      </c>
    </row>
    <row r="8" spans="2:36">
      <c r="B8" s="1" t="s">
        <v>5</v>
      </c>
      <c r="C8" s="1">
        <v>7800</v>
      </c>
    </row>
    <row r="9" spans="2:36">
      <c r="B9" s="1" t="s">
        <v>6</v>
      </c>
      <c r="C9" s="1">
        <v>46</v>
      </c>
    </row>
    <row r="10" spans="2:36">
      <c r="B10" s="4"/>
      <c r="C10" s="4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2:36">
      <c r="B11" s="1" t="s">
        <v>7</v>
      </c>
      <c r="C11" s="1">
        <v>300</v>
      </c>
      <c r="E11" s="1" t="s">
        <v>0</v>
      </c>
      <c r="F11" s="6">
        <v>0</v>
      </c>
      <c r="G11" s="6">
        <f t="shared" ref="G11:AJ11" si="0">F11+$C$3</f>
        <v>3.3333333333333335E-3</v>
      </c>
      <c r="H11" s="6">
        <f t="shared" si="0"/>
        <v>6.6666666666666671E-3</v>
      </c>
      <c r="I11" s="6">
        <f t="shared" si="0"/>
        <v>0.01</v>
      </c>
      <c r="J11" s="6">
        <f t="shared" si="0"/>
        <v>1.3333333333333334E-2</v>
      </c>
      <c r="K11" s="6">
        <f t="shared" si="0"/>
        <v>1.6666666666666666E-2</v>
      </c>
      <c r="L11" s="6">
        <f t="shared" si="0"/>
        <v>0.02</v>
      </c>
      <c r="M11" s="6">
        <f t="shared" si="0"/>
        <v>2.3333333333333334E-2</v>
      </c>
      <c r="N11" s="6">
        <f t="shared" si="0"/>
        <v>2.6666666666666668E-2</v>
      </c>
      <c r="O11" s="6">
        <f t="shared" si="0"/>
        <v>3.0000000000000002E-2</v>
      </c>
      <c r="P11" s="6">
        <f t="shared" si="0"/>
        <v>3.3333333333333333E-2</v>
      </c>
      <c r="Q11" s="6">
        <f t="shared" si="0"/>
        <v>3.6666666666666667E-2</v>
      </c>
      <c r="R11" s="6">
        <f t="shared" si="0"/>
        <v>0.04</v>
      </c>
      <c r="S11" s="6">
        <f t="shared" si="0"/>
        <v>4.3333333333333335E-2</v>
      </c>
      <c r="T11" s="6">
        <f t="shared" si="0"/>
        <v>4.6666666666666669E-2</v>
      </c>
      <c r="U11" s="6">
        <f t="shared" si="0"/>
        <v>0.05</v>
      </c>
      <c r="V11" s="6">
        <f t="shared" si="0"/>
        <v>5.3333333333333337E-2</v>
      </c>
      <c r="W11" s="6">
        <f t="shared" si="0"/>
        <v>5.6666666666666671E-2</v>
      </c>
      <c r="X11" s="6">
        <f t="shared" si="0"/>
        <v>6.0000000000000005E-2</v>
      </c>
      <c r="Y11" s="6">
        <f t="shared" si="0"/>
        <v>6.3333333333333339E-2</v>
      </c>
      <c r="Z11" s="6">
        <f t="shared" si="0"/>
        <v>6.6666666666666666E-2</v>
      </c>
      <c r="AA11" s="6">
        <f t="shared" si="0"/>
        <v>6.9999999999999993E-2</v>
      </c>
      <c r="AB11" s="6">
        <f t="shared" si="0"/>
        <v>7.333333333333332E-2</v>
      </c>
      <c r="AC11" s="6">
        <f t="shared" si="0"/>
        <v>7.6666666666666647E-2</v>
      </c>
      <c r="AD11" s="6">
        <f t="shared" si="0"/>
        <v>7.9999999999999974E-2</v>
      </c>
      <c r="AE11" s="6">
        <f t="shared" si="0"/>
        <v>8.3333333333333301E-2</v>
      </c>
      <c r="AF11" s="6">
        <f t="shared" si="0"/>
        <v>8.6666666666666628E-2</v>
      </c>
      <c r="AG11" s="6">
        <f t="shared" si="0"/>
        <v>8.9999999999999955E-2</v>
      </c>
      <c r="AH11" s="6">
        <f t="shared" si="0"/>
        <v>9.3333333333333282E-2</v>
      </c>
      <c r="AI11" s="6">
        <f t="shared" si="0"/>
        <v>9.6666666666666609E-2</v>
      </c>
      <c r="AJ11" s="6">
        <f t="shared" si="0"/>
        <v>9.9999999999999936E-2</v>
      </c>
    </row>
    <row r="12" spans="2:36">
      <c r="B12" s="2" t="s">
        <v>8</v>
      </c>
      <c r="C12" s="2">
        <v>100</v>
      </c>
      <c r="E12" s="1" t="s">
        <v>3</v>
      </c>
      <c r="F12">
        <f>C11</f>
        <v>300</v>
      </c>
      <c r="G12">
        <v>292.21368214735639</v>
      </c>
      <c r="H12">
        <v>284.439632993462</v>
      </c>
      <c r="I12">
        <v>276.689986750191</v>
      </c>
      <c r="J12">
        <v>268.97661013212502</v>
      </c>
      <c r="K12">
        <v>261.31097228274467</v>
      </c>
      <c r="L12">
        <v>253.7040190649484</v>
      </c>
      <c r="M12">
        <v>246.16605309543681</v>
      </c>
      <c r="N12">
        <v>238.70662083909593</v>
      </c>
      <c r="O12">
        <v>231.33440800162151</v>
      </c>
      <c r="P12">
        <v>224.05714436711008</v>
      </c>
      <c r="Q12">
        <v>216.88151912323576</v>
      </c>
      <c r="R12">
        <v>209.81310760110242</v>
      </c>
      <c r="S12">
        <v>202.85631023120138</v>
      </c>
      <c r="T12">
        <v>196.01430438251862</v>
      </c>
      <c r="U12">
        <v>189.28900961021589</v>
      </c>
      <c r="V12">
        <v>182.68106669003538</v>
      </c>
      <c r="W12">
        <v>176.18983066627078</v>
      </c>
      <c r="X12">
        <v>169.81337798648079</v>
      </c>
      <c r="Y12">
        <v>163.54852764178463</v>
      </c>
      <c r="Z12">
        <v>157.3908760782617</v>
      </c>
      <c r="AA12">
        <v>151.33484549435349</v>
      </c>
      <c r="AB12">
        <v>145.3737449928766</v>
      </c>
      <c r="AC12">
        <v>139.49984391588401</v>
      </c>
      <c r="AD12">
        <v>133.70445655768003</v>
      </c>
      <c r="AE12">
        <v>127.97803732722903</v>
      </c>
      <c r="AF12">
        <v>122.3102853173399</v>
      </c>
      <c r="AG12">
        <v>116.69025713556866</v>
      </c>
      <c r="AH12">
        <v>111.1064867618642</v>
      </c>
      <c r="AI12">
        <v>105.54711112153952</v>
      </c>
      <c r="AJ12">
        <f>AI12-(AJ13*C3/C9)</f>
        <v>98.880444454872844</v>
      </c>
    </row>
    <row r="13" spans="2:36">
      <c r="B13" s="5"/>
      <c r="C13" s="5"/>
      <c r="E13" s="1" t="s">
        <v>9</v>
      </c>
      <c r="F13">
        <v>92000</v>
      </c>
      <c r="G13">
        <f t="shared" ref="G13:AI13" si="1">(F12-G12)*$C$9/$C$3</f>
        <v>107451.18636648175</v>
      </c>
      <c r="H13">
        <f t="shared" si="1"/>
        <v>107281.87832374265</v>
      </c>
      <c r="I13">
        <f t="shared" si="1"/>
        <v>106945.11815713982</v>
      </c>
      <c r="J13">
        <f t="shared" si="1"/>
        <v>106444.59732931051</v>
      </c>
      <c r="K13">
        <f t="shared" si="1"/>
        <v>105785.80232144876</v>
      </c>
      <c r="L13">
        <f t="shared" si="1"/>
        <v>104975.95440558858</v>
      </c>
      <c r="M13">
        <f t="shared" si="1"/>
        <v>104023.93037925992</v>
      </c>
      <c r="N13">
        <f t="shared" si="1"/>
        <v>102940.16513750407</v>
      </c>
      <c r="O13">
        <f t="shared" si="1"/>
        <v>101736.53715714702</v>
      </c>
      <c r="P13">
        <f t="shared" si="1"/>
        <v>100426.23815625769</v>
      </c>
      <c r="Q13">
        <f t="shared" si="1"/>
        <v>99023.628365465629</v>
      </c>
      <c r="R13">
        <f t="shared" si="1"/>
        <v>97544.079005440159</v>
      </c>
      <c r="S13">
        <f t="shared" si="1"/>
        <v>96003.803704634338</v>
      </c>
      <c r="T13">
        <f t="shared" si="1"/>
        <v>94419.680711822075</v>
      </c>
      <c r="U13">
        <f t="shared" si="1"/>
        <v>92809.0678577777</v>
      </c>
      <c r="V13">
        <f t="shared" si="1"/>
        <v>91189.612298490974</v>
      </c>
      <c r="W13">
        <f t="shared" si="1"/>
        <v>89579.05712795147</v>
      </c>
      <c r="X13">
        <f t="shared" si="1"/>
        <v>87995.046981101885</v>
      </c>
      <c r="Y13">
        <f t="shared" si="1"/>
        <v>86454.934756806964</v>
      </c>
      <c r="Z13">
        <f t="shared" si="1"/>
        <v>84975.591576616469</v>
      </c>
      <c r="AA13">
        <f t="shared" si="1"/>
        <v>83573.222057933293</v>
      </c>
      <c r="AB13">
        <f t="shared" si="1"/>
        <v>82263.186920381107</v>
      </c>
      <c r="AC13">
        <f t="shared" si="1"/>
        <v>81059.834862497621</v>
      </c>
      <c r="AD13">
        <f t="shared" si="1"/>
        <v>79976.345543214949</v>
      </c>
      <c r="AE13">
        <f t="shared" si="1"/>
        <v>79024.585380223798</v>
      </c>
      <c r="AF13">
        <f t="shared" si="1"/>
        <v>78214.977736469969</v>
      </c>
      <c r="AG13">
        <f t="shared" si="1"/>
        <v>77556.388908443187</v>
      </c>
      <c r="AH13">
        <f t="shared" si="1"/>
        <v>77056.031157121455</v>
      </c>
      <c r="AI13">
        <f t="shared" si="1"/>
        <v>76719.383836480702</v>
      </c>
      <c r="AJ13">
        <v>92000</v>
      </c>
    </row>
    <row r="14" spans="2:36">
      <c r="B14" s="3" t="s">
        <v>11</v>
      </c>
      <c r="C14" s="3">
        <f>C9/C3^2</f>
        <v>4139999.9999999991</v>
      </c>
      <c r="E14" s="1" t="s">
        <v>16</v>
      </c>
      <c r="G14">
        <f>G17*H14+G18</f>
        <v>292.2183342729021</v>
      </c>
      <c r="H14">
        <f t="shared" ref="H14:AG14" si="2">H17*I14+H18</f>
        <v>284.44888624925761</v>
      </c>
      <c r="I14">
        <f t="shared" si="2"/>
        <v>276.70373970548036</v>
      </c>
      <c r="J14">
        <f t="shared" si="2"/>
        <v>268.99471203418</v>
      </c>
      <c r="K14">
        <f t="shared" si="2"/>
        <v>261.33322471171095</v>
      </c>
      <c r="L14">
        <f t="shared" si="2"/>
        <v>253.73017811177962</v>
      </c>
      <c r="M14">
        <f t="shared" si="2"/>
        <v>246.1958320388797</v>
      </c>
      <c r="N14">
        <f>N17*O14+N18</f>
        <v>238.73969329219329</v>
      </c>
      <c r="O14">
        <f t="shared" si="2"/>
        <v>231.37041149303531</v>
      </c>
      <c r="P14">
        <f t="shared" si="2"/>
        <v>224.09568431779229</v>
      </c>
      <c r="Q14">
        <f t="shared" si="2"/>
        <v>216.92217317464389</v>
      </c>
      <c r="R14">
        <f t="shared" si="2"/>
        <v>209.85543024731484</v>
      </c>
      <c r="S14">
        <f t="shared" si="2"/>
        <v>202.89983770397802</v>
      </c>
      <c r="T14">
        <f t="shared" si="2"/>
        <v>196.05855973561003</v>
      </c>
      <c r="U14">
        <f t="shared" si="2"/>
        <v>189.33350794707809</v>
      </c>
      <c r="V14">
        <f t="shared" si="2"/>
        <v>182.72532047757809</v>
      </c>
      <c r="W14">
        <f t="shared" si="2"/>
        <v>176.23335507637199</v>
      </c>
      <c r="X14">
        <f t="shared" si="2"/>
        <v>169.85569620674465</v>
      </c>
      <c r="Y14">
        <f t="shared" si="2"/>
        <v>163.58917609740624</v>
      </c>
      <c r="Z14">
        <f t="shared" si="2"/>
        <v>157.42940950788216</v>
      </c>
      <c r="AA14">
        <f t="shared" si="2"/>
        <v>151.37084182443206</v>
      </c>
      <c r="AB14">
        <f t="shared" si="2"/>
        <v>145.40680995734994</v>
      </c>
      <c r="AC14">
        <f t="shared" si="2"/>
        <v>139.52961537070286</v>
      </c>
      <c r="AD14">
        <f t="shared" si="2"/>
        <v>133.73060844317604</v>
      </c>
      <c r="AE14">
        <f t="shared" si="2"/>
        <v>128.00028323513362</v>
      </c>
      <c r="AF14">
        <f t="shared" si="2"/>
        <v>122.32838162360839</v>
      </c>
      <c r="AG14">
        <f t="shared" si="2"/>
        <v>116.70400566490946</v>
      </c>
      <c r="AH14">
        <f>AH17*AI14+AH18</f>
        <v>111.11573695498438</v>
      </c>
      <c r="AI14">
        <f>AI17*AJ14+AI18</f>
        <v>105.55176168153652</v>
      </c>
      <c r="AJ14">
        <v>100</v>
      </c>
    </row>
    <row r="15" spans="2:36">
      <c r="B15" s="1" t="s">
        <v>12</v>
      </c>
      <c r="C15" s="1">
        <f>(2*C9)/(C3^2)+(C8*C7)/C4</f>
        <v>19152727.27272727</v>
      </c>
    </row>
    <row r="16" spans="2:36">
      <c r="B16" s="1" t="s">
        <v>13</v>
      </c>
      <c r="C16" s="1">
        <f>C9/C3^2</f>
        <v>4139999.9999999991</v>
      </c>
      <c r="E16" s="1" t="s">
        <v>14</v>
      </c>
      <c r="F16">
        <f t="shared" ref="F16:AI16" si="3">-$C$8*$C$7*F12/$C$4</f>
        <v>-3261818181.8181815</v>
      </c>
      <c r="G16">
        <f t="shared" si="3"/>
        <v>-3177159671.34762</v>
      </c>
      <c r="H16">
        <f t="shared" si="3"/>
        <v>-3092634555.0925503</v>
      </c>
      <c r="I16">
        <f t="shared" si="3"/>
        <v>-3008374765.0293493</v>
      </c>
      <c r="J16">
        <f t="shared" si="3"/>
        <v>-2924509324.7092862</v>
      </c>
      <c r="K16">
        <f t="shared" si="3"/>
        <v>-2841162935.0014782</v>
      </c>
      <c r="L16">
        <f t="shared" si="3"/>
        <v>-2758454607.2879844</v>
      </c>
      <c r="M16">
        <f t="shared" si="3"/>
        <v>-2676496359.1103854</v>
      </c>
      <c r="N16">
        <f t="shared" si="3"/>
        <v>-2595391986.5778065</v>
      </c>
      <c r="O16">
        <f t="shared" si="3"/>
        <v>-2515235926.9994483</v>
      </c>
      <c r="P16">
        <f t="shared" si="3"/>
        <v>-2436112224.2096696</v>
      </c>
      <c r="Q16">
        <f t="shared" si="3"/>
        <v>-2358093607.9217272</v>
      </c>
      <c r="R16">
        <f t="shared" si="3"/>
        <v>-2281240697.1901679</v>
      </c>
      <c r="S16">
        <f t="shared" si="3"/>
        <v>-2205601336.6956077</v>
      </c>
      <c r="T16">
        <f t="shared" si="3"/>
        <v>-2131210073.104475</v>
      </c>
      <c r="U16">
        <f t="shared" si="3"/>
        <v>-2058087777.2165291</v>
      </c>
      <c r="V16">
        <f t="shared" si="3"/>
        <v>-1986241416.0116575</v>
      </c>
      <c r="W16">
        <f t="shared" si="3"/>
        <v>-1915663977.0623622</v>
      </c>
      <c r="X16">
        <f t="shared" si="3"/>
        <v>-1846334546.1075547</v>
      </c>
      <c r="Y16">
        <f t="shared" si="3"/>
        <v>-1778218536.9052217</v>
      </c>
      <c r="Z16">
        <f t="shared" si="3"/>
        <v>-1711268070.8145545</v>
      </c>
      <c r="AA16">
        <f t="shared" si="3"/>
        <v>-1645422501.9204252</v>
      </c>
      <c r="AB16">
        <f t="shared" si="3"/>
        <v>-1580609081.922549</v>
      </c>
      <c r="AC16">
        <f t="shared" si="3"/>
        <v>-1516743757.4854298</v>
      </c>
      <c r="AD16">
        <f t="shared" si="3"/>
        <v>-1453732091.2998664</v>
      </c>
      <c r="AE16">
        <f t="shared" si="3"/>
        <v>-1391470296.7578719</v>
      </c>
      <c r="AF16">
        <f t="shared" si="3"/>
        <v>-1329846374.9048958</v>
      </c>
      <c r="AG16">
        <f t="shared" si="3"/>
        <v>-1268741341.2194555</v>
      </c>
      <c r="AH16">
        <f t="shared" si="3"/>
        <v>-1208030528.7926326</v>
      </c>
      <c r="AI16">
        <f t="shared" si="3"/>
        <v>-1147584953.6487386</v>
      </c>
    </row>
    <row r="17" spans="2:35">
      <c r="E17" s="1" t="s">
        <v>10</v>
      </c>
      <c r="F17">
        <v>0</v>
      </c>
      <c r="G17">
        <f t="shared" ref="G17:AI17" si="4">$C$14/($C$15-$C$16*F17)</f>
        <v>0.21615720524017465</v>
      </c>
      <c r="H17">
        <f t="shared" si="4"/>
        <v>0.22675194911058544</v>
      </c>
      <c r="I17">
        <f t="shared" si="4"/>
        <v>0.22729800502435318</v>
      </c>
      <c r="J17">
        <f t="shared" si="4"/>
        <v>0.2273262201682604</v>
      </c>
      <c r="K17">
        <f t="shared" si="4"/>
        <v>0.22732767825754016</v>
      </c>
      <c r="L17">
        <f t="shared" si="4"/>
        <v>0.22732775360851817</v>
      </c>
      <c r="M17">
        <f t="shared" si="4"/>
        <v>0.22732775750249912</v>
      </c>
      <c r="N17">
        <f t="shared" si="4"/>
        <v>0.22732775770373193</v>
      </c>
      <c r="O17">
        <f t="shared" si="4"/>
        <v>0.22732775771413119</v>
      </c>
      <c r="P17">
        <f t="shared" si="4"/>
        <v>0.22732775771466859</v>
      </c>
      <c r="Q17">
        <f t="shared" si="4"/>
        <v>0.22732775771469638</v>
      </c>
      <c r="R17">
        <f t="shared" si="4"/>
        <v>0.22732775771469782</v>
      </c>
      <c r="S17">
        <f t="shared" si="4"/>
        <v>0.2273277577146979</v>
      </c>
      <c r="T17">
        <f t="shared" si="4"/>
        <v>0.2273277577146979</v>
      </c>
      <c r="U17">
        <f t="shared" si="4"/>
        <v>0.2273277577146979</v>
      </c>
      <c r="V17">
        <f t="shared" si="4"/>
        <v>0.2273277577146979</v>
      </c>
      <c r="W17">
        <f t="shared" si="4"/>
        <v>0.2273277577146979</v>
      </c>
      <c r="X17">
        <f t="shared" si="4"/>
        <v>0.2273277577146979</v>
      </c>
      <c r="Y17">
        <f t="shared" si="4"/>
        <v>0.2273277577146979</v>
      </c>
      <c r="Z17">
        <f t="shared" si="4"/>
        <v>0.2273277577146979</v>
      </c>
      <c r="AA17">
        <f t="shared" si="4"/>
        <v>0.2273277577146979</v>
      </c>
      <c r="AB17">
        <f t="shared" si="4"/>
        <v>0.2273277577146979</v>
      </c>
      <c r="AC17">
        <f t="shared" si="4"/>
        <v>0.2273277577146979</v>
      </c>
      <c r="AD17">
        <f t="shared" si="4"/>
        <v>0.2273277577146979</v>
      </c>
      <c r="AE17">
        <f t="shared" si="4"/>
        <v>0.2273277577146979</v>
      </c>
      <c r="AF17">
        <f t="shared" si="4"/>
        <v>0.2273277577146979</v>
      </c>
      <c r="AG17">
        <f t="shared" si="4"/>
        <v>0.2273277577146979</v>
      </c>
      <c r="AH17">
        <f t="shared" si="4"/>
        <v>0.2273277577146979</v>
      </c>
      <c r="AI17">
        <f t="shared" si="4"/>
        <v>0.2273277577146979</v>
      </c>
    </row>
    <row r="18" spans="2:35">
      <c r="E18" s="1" t="s">
        <v>15</v>
      </c>
      <c r="F18">
        <v>300</v>
      </c>
      <c r="G18">
        <f t="shared" ref="G18:AI18" si="5">(F18*$C$16-G16)/($C$15-$C$16*F17)</f>
        <v>230.73265798758226</v>
      </c>
      <c r="H18">
        <f t="shared" si="5"/>
        <v>221.70577394485184</v>
      </c>
      <c r="I18">
        <f t="shared" si="5"/>
        <v>215.56177829801086</v>
      </c>
      <c r="J18">
        <f t="shared" si="5"/>
        <v>209.58681785608411</v>
      </c>
      <c r="K18">
        <f t="shared" si="5"/>
        <v>203.65333241768798</v>
      </c>
      <c r="L18">
        <f t="shared" si="5"/>
        <v>197.76303266660105</v>
      </c>
      <c r="M18">
        <f t="shared" si="5"/>
        <v>191.92367293593097</v>
      </c>
      <c r="N18">
        <f t="shared" si="5"/>
        <v>186.14277644849182</v>
      </c>
      <c r="O18">
        <f t="shared" si="5"/>
        <v>180.42724206365779</v>
      </c>
      <c r="P18">
        <f t="shared" si="5"/>
        <v>174.78325309140746</v>
      </c>
      <c r="Q18">
        <f t="shared" si="5"/>
        <v>169.21620877226894</v>
      </c>
      <c r="R18">
        <f t="shared" si="5"/>
        <v>163.73066510139341</v>
      </c>
      <c r="S18">
        <f t="shared" si="5"/>
        <v>158.33028493850864</v>
      </c>
      <c r="T18">
        <f t="shared" si="5"/>
        <v>153.01779791374284</v>
      </c>
      <c r="U18">
        <f t="shared" si="5"/>
        <v>147.79497056521069</v>
      </c>
      <c r="V18">
        <f t="shared" si="5"/>
        <v>142.66258703352827</v>
      </c>
      <c r="W18">
        <f t="shared" si="5"/>
        <v>137.6204405226238</v>
      </c>
      <c r="X18">
        <f t="shared" si="5"/>
        <v>132.66733561812643</v>
      </c>
      <c r="Y18">
        <f t="shared" si="5"/>
        <v>127.80110143563044</v>
      </c>
      <c r="Z18">
        <f t="shared" si="5"/>
        <v>123.01861545254782</v>
      </c>
      <c r="AA18">
        <f t="shared" si="5"/>
        <v>118.31583776038049</v>
      </c>
      <c r="AB18">
        <f t="shared" si="5"/>
        <v>113.6878553603338</v>
      </c>
      <c r="AC18">
        <f t="shared" si="5"/>
        <v>109.12893601549341</v>
      </c>
      <c r="AD18">
        <f t="shared" si="5"/>
        <v>104.63259106848687</v>
      </c>
      <c r="AE18">
        <f t="shared" si="5"/>
        <v>100.19164653577089</v>
      </c>
      <c r="AF18">
        <f t="shared" si="5"/>
        <v>95.798321699481122</v>
      </c>
      <c r="AG18">
        <f t="shared" si="5"/>
        <v>91.444314336116662</v>
      </c>
      <c r="AH18">
        <f t="shared" si="5"/>
        <v>87.120891649084513</v>
      </c>
      <c r="AI18">
        <f t="shared" si="5"/>
        <v>82.818985910066729</v>
      </c>
    </row>
    <row r="22" spans="2:35">
      <c r="B22" s="1" t="s">
        <v>9</v>
      </c>
      <c r="C22" s="1">
        <v>92000</v>
      </c>
    </row>
  </sheetData>
  <conditionalFormatting sqref="F12:AJ12">
    <cfRule type="colorScale" priority="1">
      <colorScale>
        <cfvo type="min" val="0"/>
        <cfvo type="percentile" val="50"/>
        <cfvo type="max" val="0"/>
        <color rgb="FF00206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Александр Шаронов</cp:lastModifiedBy>
  <dcterms:created xsi:type="dcterms:W3CDTF">2021-02-19T10:02:29Z</dcterms:created>
  <dcterms:modified xsi:type="dcterms:W3CDTF">2021-03-17T17:08:10Z</dcterms:modified>
</cp:coreProperties>
</file>